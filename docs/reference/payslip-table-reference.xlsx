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<sst xmlns="http://schemas.openxmlformats.org/spreadsheetml/2006/main" count="35" uniqueCount="35">
  <si>
    <t>Payslip</t>
  </si>
  <si>
    <t>ABC Co Ltd</t>
  </si>
  <si>
    <t>12 Example Street</t>
  </si>
  <si>
    <t>Port Louis</t>
  </si>
  <si>
    <t>BRN :  C1234567</t>
  </si>
  <si>
    <t>Pay period: September 2026</t>
  </si>
  <si>
    <t xml:space="preserve">Employee Info </t>
  </si>
  <si>
    <t xml:space="preserve">Name : </t>
  </si>
  <si>
    <t>DOE JANE</t>
  </si>
  <si>
    <t xml:space="preserve">Date of Employment : </t>
  </si>
  <si>
    <t xml:space="preserve">NIC : </t>
  </si>
  <si>
    <t>X0000000000001</t>
  </si>
  <si>
    <t xml:space="preserve">Earnings </t>
  </si>
  <si>
    <t xml:space="preserve">Deductions </t>
  </si>
  <si>
    <t xml:space="preserve">Rs </t>
  </si>
  <si>
    <t>Rs</t>
  </si>
  <si>
    <t xml:space="preserve">Basic Salary </t>
  </si>
  <si>
    <t xml:space="preserve">Contributions </t>
  </si>
  <si>
    <t xml:space="preserve">Govt Increment </t>
  </si>
  <si>
    <t xml:space="preserve">Transport Allowance </t>
  </si>
  <si>
    <t xml:space="preserve">CSG </t>
  </si>
  <si>
    <t xml:space="preserve">Presence Bonus </t>
  </si>
  <si>
    <t xml:space="preserve">NSF </t>
  </si>
  <si>
    <t xml:space="preserve">Productivity Bonus </t>
  </si>
  <si>
    <t xml:space="preserve">PAYE </t>
  </si>
  <si>
    <t xml:space="preserve">Advance </t>
  </si>
  <si>
    <t xml:space="preserve">Others Deductions : </t>
  </si>
  <si>
    <t>Absences :</t>
  </si>
  <si>
    <t xml:space="preserve">Lateness </t>
  </si>
  <si>
    <t xml:space="preserve">Total Earnings </t>
  </si>
  <si>
    <t xml:space="preserve">Total Deductions </t>
  </si>
  <si>
    <t xml:space="preserve">Net Pay : </t>
  </si>
  <si>
    <t xml:space="preserve">Signature Employee : </t>
  </si>
  <si>
    <t xml:space="preserve">Signature Employer : </t>
  </si>
  <si>
    <t xml:space="preserve">Date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</si>
</sst>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_-;-* #,##0_-;_-* &quot;-&quot;??_-;_-@"/>
    <numFmt numFmtId="165" formatCode="_-* #,##0_-;-* #,##0_-;_-* &quot;-&quot;?_-;_-@_-"/>
  </numFmts>
  <fonts count="4" x14ac:knownFonts="1">
    <font>
      <color theme="1"/>
      <family val="2"/>
      <scheme val="minor"/>
      <sz val="11"/>
      <name val="Calibri"/>
    </font>
    <font>
      <b/>
      <sz val="12"/>
      <name val="Book Antiqua"/>
    </font>
    <font>
      <sz val="11"/>
      <name val="Calibri"/>
    </font>
    <font>
      <sz val="11"/>
      <name val="Book Antiqua"/>
    </font>
  </fonts>
  <fills count="3">
    <fill>
      <patternFill patternType="none"/>
    </fill>
    <fill>
      <patternFill patternType="gray125"/>
    </fill>
    <fill>
      <patternFill patternType="solid">
        <fgColor rgb="FF66CCFF"/>
        <bgColor rgb="FF66CCFF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1" fillId="0" borderId="6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/>
    <xf numFmtId="15" fontId="3" fillId="0" borderId="8" xfId="0" applyNumberFormat="1" applyFont="1" applyBorder="1" applyAlignment="1">
      <alignment horizontal="left"/>
    </xf>
    <xf numFmtId="0" fontId="3" fillId="0" borderId="8" xfId="0" applyFont="1" applyBorder="1"/>
    <xf numFmtId="0" fontId="2" fillId="0" borderId="6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7" xfId="0" applyFont="1" applyBorder="1"/>
    <xf numFmtId="0" fontId="3" fillId="0" borderId="11" xfId="0" applyFont="1" applyBorder="1" applyAlignment="1">
      <alignment horizontal="center"/>
    </xf>
    <xf numFmtId="0" fontId="2" fillId="0" borderId="0" xfId="0" applyFont="1"/>
    <xf numFmtId="0" fontId="3" fillId="0" borderId="8" xfId="0" applyFont="1" applyBorder="1" applyAlignment="1">
      <alignment horizontal="center"/>
    </xf>
    <xf numFmtId="3" fontId="2" fillId="0" borderId="11" xfId="0" applyNumberFormat="1" applyFont="1" applyBorder="1"/>
    <xf numFmtId="0" fontId="2" fillId="0" borderId="8" xfId="0" applyFont="1" applyBorder="1"/>
    <xf numFmtId="164" fontId="3" fillId="0" borderId="11" xfId="0" applyNumberFormat="1" applyFont="1" applyBorder="1" applyAlignment="1">
      <alignment horizontal="right"/>
    </xf>
    <xf numFmtId="165" fontId="3" fillId="0" borderId="8" xfId="0" applyNumberFormat="1" applyFont="1" applyBorder="1" applyAlignment="1">
      <alignment horizontal="right"/>
    </xf>
    <xf numFmtId="0" fontId="2" fillId="0" borderId="11" xfId="0" applyFont="1" applyBorder="1"/>
    <xf numFmtId="15" fontId="3" fillId="0" borderId="11" xfId="0" applyNumberFormat="1" applyFont="1" applyBorder="1" applyAlignment="1">
      <alignment horizontal="right"/>
    </xf>
    <xf numFmtId="0" fontId="2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4:E34"/>
  <sheetFormatPr defaultRowHeight="15" outlineLevelRow="0" outlineLevelCol="0" x14ac:dyDescent="55"/>
  <cols>
    <col min="2" max="2" width="28.77734375" customWidth="1"/>
    <col min="3" max="3" width="32.77734375" customWidth="1"/>
    <col min="4" max="4" width="35.6640625" customWidth="1"/>
    <col min="5" max="5" width="40.5546875" customWidth="1"/>
  </cols>
  <sheetData>
    <row r="4" ht="16.2" customHeight="1" spans="2:5" x14ac:dyDescent="0.25">
      <c r="B4" s="1" t="s">
        <v>0</v>
      </c>
      <c r="C4" s="1"/>
      <c r="D4" s="1"/>
      <c r="E4" s="1"/>
    </row>
    <row r="5" ht="16.2" customHeight="1" spans="2:5" x14ac:dyDescent="0.25">
      <c r="B5" s="2" t="s">
        <v>1</v>
      </c>
      <c r="C5" s="2"/>
      <c r="D5" s="2"/>
      <c r="E5" s="2"/>
    </row>
    <row r="6" ht="16.2" customHeight="1" spans="2:5" x14ac:dyDescent="0.25">
      <c r="B6" s="3" t="s">
        <v>2</v>
      </c>
      <c r="C6" s="3"/>
      <c r="D6" s="3"/>
      <c r="E6" s="3"/>
    </row>
    <row r="7" ht="16.2" customHeight="1" spans="2:5" x14ac:dyDescent="0.25">
      <c r="B7" s="3" t="s">
        <v>3</v>
      </c>
      <c r="C7" s="3"/>
      <c r="D7" s="3"/>
      <c r="E7" s="3"/>
    </row>
    <row r="8" ht="16.2" customHeight="1" spans="2:5" x14ac:dyDescent="0.25">
      <c r="B8" s="3" t="s">
        <v>4</v>
      </c>
      <c r="C8" s="3"/>
      <c r="D8" s="3"/>
      <c r="E8" s="3"/>
    </row>
    <row r="9" ht="16.2" customHeight="1" spans="2:5" x14ac:dyDescent="0.25">
      <c r="B9" s="4"/>
      <c r="C9" s="5"/>
      <c r="D9" s="5"/>
      <c r="E9" s="6" t="s">
        <v>5</v>
      </c>
    </row>
    <row r="10" ht="16.2" customHeight="1" spans="2:5" x14ac:dyDescent="0.25">
      <c r="B10" s="1" t="s">
        <v>6</v>
      </c>
      <c r="C10" s="1"/>
      <c r="D10" s="1"/>
      <c r="E10" s="1"/>
    </row>
    <row r="11" spans="2:5" x14ac:dyDescent="0.25">
      <c r="B11" s="7" t="s">
        <v>7</v>
      </c>
      <c r="C11" s="8" t="s">
        <v>8</v>
      </c>
      <c r="D11" s="8" t="s">
        <v>9</v>
      </c>
      <c r="E11" s="9">
        <v>44270</v>
      </c>
    </row>
    <row r="12" spans="2:5" x14ac:dyDescent="0.25">
      <c r="B12" s="7" t="s">
        <v>10</v>
      </c>
      <c r="C12" s="8" t="s">
        <v>11</v>
      </c>
      <c r="D12" s="8"/>
      <c r="E12" s="10"/>
    </row>
    <row r="13" spans="2:5" x14ac:dyDescent="0.25">
      <c r="B13" s="4"/>
      <c r="C13" s="5"/>
      <c r="D13" s="5"/>
      <c r="E13" s="11"/>
    </row>
    <row r="14" ht="15.6" customHeight="1" spans="2:5" x14ac:dyDescent="0.25">
      <c r="B14" s="12" t="s">
        <v>12</v>
      </c>
      <c r="C14" s="12"/>
      <c r="D14" s="13" t="s">
        <v>13</v>
      </c>
      <c r="E14" s="13"/>
    </row>
    <row r="15" spans="2:5" x14ac:dyDescent="0.25">
      <c r="B15" s="14"/>
      <c r="C15" s="15" t="s">
        <v>14</v>
      </c>
      <c r="D15" s="16"/>
      <c r="E15" s="17" t="s">
        <v>15</v>
      </c>
    </row>
    <row r="16" spans="2:5" x14ac:dyDescent="0.25">
      <c r="B16" s="7" t="s">
        <v>16</v>
      </c>
      <c r="C16" s="18">
        <v>18000</v>
      </c>
      <c r="D16" s="8" t="s">
        <v>17</v>
      </c>
      <c r="E16" s="19"/>
    </row>
    <row r="17" spans="2:5" x14ac:dyDescent="0.25">
      <c r="B17" s="7" t="s">
        <v>18</v>
      </c>
      <c r="C17" s="20">
        <v>0</v>
      </c>
      <c r="D17" s="8"/>
      <c r="E17" s="19"/>
    </row>
    <row r="18" spans="2:5" x14ac:dyDescent="0.25">
      <c r="B18" s="7" t="s">
        <v>19</v>
      </c>
      <c r="C18" s="20">
        <v>2450</v>
      </c>
      <c r="D18" s="8" t="s">
        <v>20</v>
      </c>
      <c r="E18" s="21">
        <f>(C16-E23-E24+C17)*1.5%</f>
        <v>270</v>
      </c>
    </row>
    <row r="19" spans="2:5" x14ac:dyDescent="0.25">
      <c r="B19" s="7" t="s">
        <v>21</v>
      </c>
      <c r="C19" s="20">
        <v>0</v>
      </c>
      <c r="D19" s="8" t="s">
        <v>22</v>
      </c>
      <c r="E19" s="21">
        <f>(C16-E23-E24+C17)*1%</f>
        <v>180</v>
      </c>
    </row>
    <row r="20" spans="2:5" x14ac:dyDescent="0.25">
      <c r="B20" s="7" t="s">
        <v>23</v>
      </c>
      <c r="C20" s="20">
        <v>0</v>
      </c>
      <c r="D20" s="8" t="s">
        <v>24</v>
      </c>
      <c r="E20" s="21">
        <v>0</v>
      </c>
    </row>
    <row r="21" spans="2:5" x14ac:dyDescent="0.25">
      <c r="B21" s="7" t="s">
        <v>25</v>
      </c>
      <c r="C21" s="20">
        <v>0</v>
      </c>
      <c r="D21" s="16"/>
      <c r="E21" s="19"/>
    </row>
    <row r="22" spans="2:5" x14ac:dyDescent="0.25">
      <c r="B22" s="14"/>
      <c r="C22" s="22"/>
      <c r="D22" s="8" t="s">
        <v>26</v>
      </c>
      <c r="E22" s="19"/>
    </row>
    <row r="23" spans="2:5" x14ac:dyDescent="0.25">
      <c r="B23" s="14"/>
      <c r="C23" s="22"/>
      <c r="D23" s="8" t="s">
        <v>27</v>
      </c>
      <c r="E23" s="21">
        <v>0</v>
      </c>
    </row>
    <row r="24" spans="2:5" x14ac:dyDescent="0.25">
      <c r="B24" s="14"/>
      <c r="C24" s="22"/>
      <c r="D24" s="8" t="s">
        <v>28</v>
      </c>
      <c r="E24" s="21">
        <v>0</v>
      </c>
    </row>
    <row r="25" spans="2:5" x14ac:dyDescent="0.25">
      <c r="B25" s="14"/>
      <c r="C25" s="22"/>
      <c r="D25" s="16"/>
      <c r="E25" s="19"/>
    </row>
    <row r="26" spans="2:5" x14ac:dyDescent="0.25">
      <c r="B26" s="7" t="s">
        <v>29</v>
      </c>
      <c r="C26" s="20">
        <f>C16+C18+C19+C20+C21+C17</f>
        <v>20450</v>
      </c>
      <c r="D26" s="8" t="s">
        <v>30</v>
      </c>
      <c r="E26" s="21">
        <f>E18+E19+E23+E20+E24</f>
        <v>450</v>
      </c>
    </row>
    <row r="27" spans="2:5" x14ac:dyDescent="0.25">
      <c r="B27" s="14"/>
      <c r="C27" s="22"/>
      <c r="D27" s="16"/>
      <c r="E27" s="19"/>
    </row>
    <row r="28" spans="2:5" x14ac:dyDescent="0.25">
      <c r="B28" s="14"/>
      <c r="C28" s="22"/>
      <c r="D28" s="16"/>
      <c r="E28" s="19"/>
    </row>
    <row r="29" spans="2:5" x14ac:dyDescent="0.25">
      <c r="B29" s="14"/>
      <c r="C29" s="22"/>
      <c r="D29" s="8" t="s">
        <v>31</v>
      </c>
      <c r="E29" s="21">
        <f>C26-E26</f>
        <v>20000</v>
      </c>
    </row>
    <row r="30" spans="2:5" x14ac:dyDescent="0.25">
      <c r="B30" s="14"/>
      <c r="C30" s="22"/>
      <c r="D30" s="16"/>
      <c r="E30" s="19"/>
    </row>
    <row r="31" spans="2:5" x14ac:dyDescent="0.25">
      <c r="B31" s="7" t="s">
        <v>32</v>
      </c>
      <c r="C31" s="22"/>
      <c r="D31" s="8" t="s">
        <v>33</v>
      </c>
      <c r="E31" s="19"/>
    </row>
    <row r="32" spans="2:5" x14ac:dyDescent="0.25">
      <c r="B32" s="7" t="s">
        <v>34</v>
      </c>
      <c r="C32" s="23">
        <v>46293</v>
      </c>
      <c r="D32" s="16"/>
      <c r="E32" s="19"/>
    </row>
    <row r="33" spans="2:5" x14ac:dyDescent="0.25">
      <c r="B33" s="14"/>
      <c r="C33" s="22"/>
      <c r="D33" s="16"/>
      <c r="E33" s="19"/>
    </row>
    <row r="34" spans="2:5" x14ac:dyDescent="0.25">
      <c r="B34" s="4"/>
      <c r="C34" s="24"/>
      <c r="D34" s="5"/>
      <c r="E34" s="11"/>
    </row>
  </sheetData>
  <mergeCells count="8">
    <mergeCell ref="B4:E4"/>
    <mergeCell ref="B5:E5"/>
    <mergeCell ref="B6:E6"/>
    <mergeCell ref="B7:E7"/>
    <mergeCell ref="B8:E8"/>
    <mergeCell ref="B10:E10"/>
    <mergeCell ref="B14:C14"/>
    <mergeCell ref="D14:E14"/>
  </mergeCells>
  <pageMargins left="0.7" right="0.7" top="0.75" bottom="0.75" header="0.3" footer="0.3"/>
  <pageSetup orientation="portrait" horizontalDpi="4294967295" verticalDpi="4294967295" scale="61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Payslip app</dc:creator>
  <dc:title/>
  <dc:subject/>
  <dc:description/>
  <cp:keywords/>
  <cp:category/>
  <cp:lastModifiedBy>Payslip app</cp:lastModifiedBy>
  <dcterms:created xsi:type="dcterms:W3CDTF">2026-10-06T16:10:30Z</dcterms:created>
  <dcterms:modified xsi:type="dcterms:W3CDTF">2026-10-06T16:10:30Z</dcterms:modified>
</cp:coreProperties>
</file>